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er\Project\Excel data\Top 5 Brand\Claude Analysis\Amazon\"/>
    </mc:Choice>
  </mc:AlternateContent>
  <xr:revisionPtr revIDLastSave="0" documentId="8_{1AE00CD3-876A-4F61-9432-423646145FBB}" xr6:coauthVersionLast="47" xr6:coauthVersionMax="47" xr10:uidLastSave="{00000000-0000-0000-0000-000000000000}"/>
  <bookViews>
    <workbookView xWindow="-110" yWindow="-110" windowWidth="19420" windowHeight="11500" tabRatio="795" activeTab="1" xr2:uid="{00000000-000D-0000-FFFF-FFFF00000000}"/>
  </bookViews>
  <sheets>
    <sheet name="Executive Summary" sheetId="1" r:id="rId1"/>
    <sheet name="Inventory KPI Dashboard" sheetId="2" r:id="rId2"/>
    <sheet name="Monthly Inv vs Target" sheetId="3" r:id="rId3"/>
    <sheet name="FC Risk Register" sheetId="4" r:id="rId4"/>
    <sheet name="Overstock Capital" sheetId="5" r:id="rId5"/>
    <sheet name="Source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H11" i="3"/>
  <c r="G11" i="3"/>
  <c r="D11" i="3"/>
  <c r="C11" i="3"/>
  <c r="E11" i="3" s="1"/>
  <c r="F11" i="3" s="1"/>
  <c r="C29" i="2"/>
  <c r="C26" i="2"/>
  <c r="C24" i="2"/>
  <c r="C23" i="2"/>
</calcChain>
</file>

<file path=xl/sharedStrings.xml><?xml version="1.0" encoding="utf-8"?>
<sst xmlns="http://schemas.openxmlformats.org/spreadsheetml/2006/main" count="318" uniqueCount="177">
  <si>
    <t>amazon  ·  Inventory Optimization &amp; Risk Mitigation Dashboard  ·  H1 2026</t>
  </si>
  <si>
    <t>TOTAL H1 REVENUE</t>
  </si>
  <si>
    <t>CONTRIBUTION MARGIN</t>
  </si>
  <si>
    <t>AVG DAYS OF INV ON HAND</t>
  </si>
  <si>
    <t>OVERSTOCK CAPITAL TIED</t>
  </si>
  <si>
    <t>$378,000mm</t>
  </si>
  <si>
    <t>25.54%</t>
  </si>
  <si>
    <t>6.78 Days</t>
  </si>
  <si>
    <t>$4,469mm</t>
  </si>
  <si>
    <t>All regions · 6 categories</t>
  </si>
  <si>
    <t>AWS leads 37% · Online 11%</t>
  </si>
  <si>
    <t>4.8d floor · 7.0d target</t>
  </si>
  <si>
    <t>NA $2,888mm (64.6%) · EU $849mm</t>
  </si>
  <si>
    <t xml:space="preserve">  INSIGHT 01  ·  Stockout Risk — 60% of Rows on Watch</t>
  </si>
  <si>
    <t xml:space="preserve">  1,109 of 1,848 rows (60.0%) carry Watch inventory status — systemic undersupply vs. plan. 61 rows breach the critical 5-day Stock Cover floor (immediate reorder trigger). APAC Watch nodes average 6.13 DOIH vs. 7.0-day target (–0.87 days). Online Stores (146 Watch rows) and 3P Seller Services (203 Watch rows) carry the highest exposure. Revenue gap: –$11,154mm globally.</t>
  </si>
  <si>
    <t xml:space="preserve">  INSIGHT 02  ·  Overstock Capital Tie-Up — $4,469mm Immobilised</t>
  </si>
  <si>
    <t xml:space="preserve">  $4,469mm of working capital is tied in above-target inventory (avg $42/unit modeled). North America: 64.6% ($2,888mm). 3P Seller Services ($2,270mm, 50.8%) + Online Stores ($1,426mm, 31.9%) = 82.7% of total overstock. Apr-2026: 370,738K units vs. 391,012K target (–5.2%) — a demand-signal distribution failure, not a volume problem. Dual-sided risk in all regions.</t>
  </si>
  <si>
    <t xml:space="preserve">  INSIGHT 03  ·  Fulfillment Center Bottlenecks — APAC/EMEA Dwell Excess</t>
  </si>
  <si>
    <t xml:space="preserve">  APAC Hub AWS Enterprise: 1.626-day dwell vs. 0.83-day benchmark — 96% excess dwell. Americas HQ Advertising Platform: lowest OTD at 95.7%. Europe: widest revenue gap –$2,062mm + $849mm concurrent overstock — dual-sided misallocation. Fulfillment cost: NA $14,791mm vs. MEA $498mm (29.7× differential). EMEA Hub AWS Enterprise on Watch with 1.60-day fulfillment.</t>
  </si>
  <si>
    <t>⚠  This analysis is for demonstration purposes based on modeled data. Internal Amazon disclosures may differ.  |  Prepared by: Rahima Akter Diti</t>
  </si>
  <si>
    <t>Inventory Optimization KPI Dashboard  ·  H1 2026</t>
  </si>
  <si>
    <t>Prepared by: Rahima Akter Diti  |  Sources: Inventory_Product_Service · Supply_Chain_Report · Delivery_Shipment</t>
  </si>
  <si>
    <t xml:space="preserve">  A  ·  REGIONAL INVENTORY &amp; RISK MATRIX</t>
  </si>
  <si>
    <t>Region</t>
  </si>
  <si>
    <t>Avg DOIH</t>
  </si>
  <si>
    <t>Min DOIH</t>
  </si>
  <si>
    <t>Max DOIH</t>
  </si>
  <si>
    <t>Watch Rows</t>
  </si>
  <si>
    <t>Fill Rate %</t>
  </si>
  <si>
    <t>Overstock $mm</t>
  </si>
  <si>
    <t>OTD Rate</t>
  </si>
  <si>
    <t>Fulfill Days</t>
  </si>
  <si>
    <t>Data Source Reference</t>
  </si>
  <si>
    <t>North America</t>
  </si>
  <si>
    <t>97.08%</t>
  </si>
  <si>
    <t>96.6%</t>
  </si>
  <si>
    <t>Amazon Q1 2026 IR + modeled</t>
  </si>
  <si>
    <t>Europe</t>
  </si>
  <si>
    <t>97.10%</t>
  </si>
  <si>
    <t>Asia Pacific</t>
  </si>
  <si>
    <t>97.11%</t>
  </si>
  <si>
    <t>Latin America</t>
  </si>
  <si>
    <t>Mid East/Africa</t>
  </si>
  <si>
    <t>97.09%</t>
  </si>
  <si>
    <t xml:space="preserve">  B  ·  OVERSTOCK CAPITAL BY CATEGORY  —  Total: $4,469mm</t>
  </si>
  <si>
    <t>Category</t>
  </si>
  <si>
    <t>Mix %</t>
  </si>
  <si>
    <t>Fill Rate</t>
  </si>
  <si>
    <t>Lead Time d</t>
  </si>
  <si>
    <t>Risk Level</t>
  </si>
  <si>
    <t>CM %</t>
  </si>
  <si>
    <t>3P Seller Services</t>
  </si>
  <si>
    <t>50.8%</t>
  </si>
  <si>
    <t>CRITICAL</t>
  </si>
  <si>
    <t>22.0%</t>
  </si>
  <si>
    <t>Amazon Q1 2026 + modeled</t>
  </si>
  <si>
    <t>Online Stores</t>
  </si>
  <si>
    <t>31.9%</t>
  </si>
  <si>
    <t>HIGH</t>
  </si>
  <si>
    <t>11.0%</t>
  </si>
  <si>
    <t>Subscription Svcs</t>
  </si>
  <si>
    <t>13.6%</t>
  </si>
  <si>
    <t>35.0%</t>
  </si>
  <si>
    <t>Physical Stores</t>
  </si>
  <si>
    <t xml:space="preserve"> 2.0%</t>
  </si>
  <si>
    <t>MEDIUM</t>
  </si>
  <si>
    <t xml:space="preserve"> 8.0%</t>
  </si>
  <si>
    <t>Advertising Svcs</t>
  </si>
  <si>
    <t xml:space="preserve"> 1.7%</t>
  </si>
  <si>
    <t>64.0%</t>
  </si>
  <si>
    <t>AWS</t>
  </si>
  <si>
    <t xml:space="preserve"> 0.1%</t>
  </si>
  <si>
    <t>LOW</t>
  </si>
  <si>
    <t>37.0%</t>
  </si>
  <si>
    <t xml:space="preserve">  C  ·  KPI FORMULA REFERENCE</t>
  </si>
  <si>
    <t>KPI</t>
  </si>
  <si>
    <t>Formula Definition</t>
  </si>
  <si>
    <t>Business Use</t>
  </si>
  <si>
    <t>Alert Threshold</t>
  </si>
  <si>
    <t>—</t>
  </si>
  <si>
    <t>Data Source</t>
  </si>
  <si>
    <t>DOIH</t>
  </si>
  <si>
    <t>Daily cover</t>
  </si>
  <si>
    <t>&lt;5 d = Critical reorder</t>
  </si>
  <si>
    <t>Inventory_Product_Service</t>
  </si>
  <si>
    <t>Target Stock</t>
  </si>
  <si>
    <t>7-day safety buffer</t>
  </si>
  <si>
    <t>&lt;Target = Undersupply risk</t>
  </si>
  <si>
    <t>Overstock Cap</t>
  </si>
  <si>
    <t>USD mm excess stock</t>
  </si>
  <si>
    <t>&gt;$0 = Capital at risk</t>
  </si>
  <si>
    <t>Stockout Flag</t>
  </si>
  <si>
    <t>Reorder signal</t>
  </si>
  <si>
    <t>5 d hard floor</t>
  </si>
  <si>
    <t>Fill Rate Gap</t>
  </si>
  <si>
    <t>Unfulfilled demand</t>
  </si>
  <si>
    <t>&gt;3% = Escalation</t>
  </si>
  <si>
    <t>OTD Gap</t>
  </si>
  <si>
    <t>OTD shortfall</t>
  </si>
  <si>
    <t>&lt;97% = FC at risk</t>
  </si>
  <si>
    <t>Revenue Gap %</t>
  </si>
  <si>
    <t>Plan vs. actuals</t>
  </si>
  <si>
    <t>&gt;–2% = Priority High</t>
  </si>
  <si>
    <t>Monthly Inventory vs 7-Day Target Stock Level  ·  H1 2026</t>
  </si>
  <si>
    <t>Prepared by: Rahima Akter Diti  |  Source: Inventory_Product_Service  |  Target = (Sold÷30)×7</t>
  </si>
  <si>
    <t>Month</t>
  </si>
  <si>
    <t>Closing Stock (000)</t>
  </si>
  <si>
    <t>Target Stock (000)</t>
  </si>
  <si>
    <t>Gap (000)</t>
  </si>
  <si>
    <t>Gap %</t>
  </si>
  <si>
    <t>Stockout &lt;5d</t>
  </si>
  <si>
    <t>Jan-2026</t>
  </si>
  <si>
    <t>Amazon Q1 FY2026 + modeled</t>
  </si>
  <si>
    <t>Feb-2026</t>
  </si>
  <si>
    <t>Mar-2026</t>
  </si>
  <si>
    <t>Apr-2026</t>
  </si>
  <si>
    <t>May-2026</t>
  </si>
  <si>
    <t>Jun-2026</t>
  </si>
  <si>
    <t>H1 TOTAL / AVG</t>
  </si>
  <si>
    <t>Fulfillment Center Risk Register  ·  H1 2026</t>
  </si>
  <si>
    <t>Prepared by: Rahima Akter Diti  |  Sources: Delivery_Shipment · Supply_Chain_Report · Inventory_Product_Service</t>
  </si>
  <si>
    <t>Branch / Fulfillment Center</t>
  </si>
  <si>
    <t>Americas HQ – Advertising Platform</t>
  </si>
  <si>
    <t>EMEA Hub – Physical Retail</t>
  </si>
  <si>
    <t>MEA Hub – Physical Retail</t>
  </si>
  <si>
    <t>APAC Hub – Advertising Platform</t>
  </si>
  <si>
    <t>LATAM Hub – Advertising Platform</t>
  </si>
  <si>
    <t>EMEA Hub – AWS Enterprise</t>
  </si>
  <si>
    <t>APAC Hub – AWS Enterprise</t>
  </si>
  <si>
    <t>MEA Hub – AWS Enterprise</t>
  </si>
  <si>
    <t>Americas HQ – Marketplace Sellers</t>
  </si>
  <si>
    <t>Americas HQ – Amazon.com / App</t>
  </si>
  <si>
    <t>Overstock Capital Tie-Up Analysis  ·  H1 2026  ·  Total: $4,469mm</t>
  </si>
  <si>
    <t>Prepared by: Rahima Akter Diti  |  Source: Inventory_Product_Service  |  Unit Price: $42 avg (modeled)</t>
  </si>
  <si>
    <t>Risk Flag</t>
  </si>
  <si>
    <t>Revenue Gap $mm</t>
  </si>
  <si>
    <t>CATEGORY TOTAL</t>
  </si>
  <si>
    <t>100%</t>
  </si>
  <si>
    <t>25.5%</t>
  </si>
  <si>
    <t xml:space="preserve">  REGIONAL BREAKDOWN</t>
  </si>
  <si>
    <t>Fulfill Cost $mm</t>
  </si>
  <si>
    <t>Gap Rank</t>
  </si>
  <si>
    <t>64.6%</t>
  </si>
  <si>
    <t>1st</t>
  </si>
  <si>
    <t>19.0%</t>
  </si>
  <si>
    <t>2nd</t>
  </si>
  <si>
    <t>10.7%</t>
  </si>
  <si>
    <t>3rd</t>
  </si>
  <si>
    <t xml:space="preserve"> 3.5%</t>
  </si>
  <si>
    <t>4th</t>
  </si>
  <si>
    <t xml:space="preserve"> 2.2%</t>
  </si>
  <si>
    <t>5th</t>
  </si>
  <si>
    <t>Source Reference Directory  ·  Amazon H1 2026</t>
  </si>
  <si>
    <t>Prepared by: Rahima Akter Diti  |  Per Sources sheet of uploaded workbook</t>
  </si>
  <si>
    <t>Source</t>
  </si>
  <si>
    <t>URL / Reference</t>
  </si>
  <si>
    <t>Use in Workbook</t>
  </si>
  <si>
    <t>Reliability</t>
  </si>
  <si>
    <t>Interbrand Best Global Brands 2025</t>
  </si>
  <si>
    <t>https://interbrand.com/best-global-brands/global/</t>
  </si>
  <si>
    <t>Top five brand selection</t>
  </si>
  <si>
    <t>Brand ranking source</t>
  </si>
  <si>
    <t>Amazon Q1 2026 Results</t>
  </si>
  <si>
    <t>https://ir.aboutamazon.com/news-release/news-release-details/2026/Amazon-com-Announces-First-Quarter-Results/default.aspx</t>
  </si>
  <si>
    <t>Official Q1 revenue and segment anchor</t>
  </si>
  <si>
    <t>Company official</t>
  </si>
  <si>
    <t>Amazon 2025 Annual Report</t>
  </si>
  <si>
    <t>https://s2.q4cdn.com/299287126/files/doc_financials/2026/ar/Amazon-2025-Annual-Report.pdf</t>
  </si>
  <si>
    <t>Annual segment/geography context</t>
  </si>
  <si>
    <t>Amazon Annual Reports Page</t>
  </si>
  <si>
    <t>https://ir.aboutamazon.com/annual-reports-proxies-and-shareholder-letters/default.aspx</t>
  </si>
  <si>
    <t>Report repository reference</t>
  </si>
  <si>
    <t>Modeling Disclosure</t>
  </si>
  <si>
    <t>Internal rows modeled from uploaded workbook totals</t>
  </si>
  <si>
    <t>All inventory/risk/supply chain detail sheets</t>
  </si>
  <si>
    <t>Analyst modeled allocation</t>
  </si>
  <si>
    <t>Prepared by: Rahima Akter Diti  |  Jan–Jun 2026  |  USD mm unless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</si>
</sst>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\+#,##0.0;\-#,##0.0;&quot;-&quot;"/>
    <numFmt numFmtId="166" formatCode="\+0.00%;\-0.00%;&quot;-&quot;"/>
    <numFmt numFmtId="167" formatCode="0.0%"/>
    <numFmt numFmtId="168" formatCode="0.000"/>
    <numFmt numFmtId="169" formatCode="0.0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232F3E"/>
      <name val="Calibri"/>
    </font>
    <font>
      <b/>
      <sz val="8"/>
      <color rgb="FFFFFFFF"/>
      <name val="Calibri"/>
    </font>
    <font>
      <b/>
      <sz val="20"/>
      <color rgb="FFFFFFFF"/>
      <name val="Calibri"/>
    </font>
    <font>
      <i/>
      <sz val="8"/>
      <color rgb="FFFFFFFF"/>
      <name val="Calibri"/>
    </font>
    <font>
      <b/>
      <sz val="10"/>
      <color rgb="FFFFFFFF"/>
      <name val="Calibri"/>
    </font>
    <font>
      <sz val="10"/>
      <color rgb="FF1E293B"/>
      <name val="Calibri"/>
    </font>
    <font>
      <i/>
      <sz val="8"/>
      <color rgb="FF64748B"/>
      <name val="Calibri"/>
    </font>
    <font>
      <b/>
      <sz val="9"/>
      <color rgb="FF232F3E"/>
      <name val="Calibri"/>
    </font>
    <font>
      <b/>
      <sz val="9"/>
      <color rgb="FFFFFFFF"/>
      <name val="Calibri"/>
    </font>
    <font>
      <b/>
      <sz val="10"/>
      <color rgb="FFD13212"/>
      <name val="Calibri"/>
    </font>
    <font>
      <b/>
      <sz val="10"/>
      <color rgb="FFD9822B"/>
      <name val="Calibri"/>
    </font>
    <font>
      <b/>
      <sz val="10"/>
      <color rgb="FF067D62"/>
      <name val="Calibri"/>
    </font>
    <font>
      <b/>
      <sz val="9"/>
      <color rgb="FFD13212"/>
      <name val="Calibri"/>
    </font>
    <font>
      <b/>
      <sz val="9"/>
      <color rgb="FFD9822B"/>
      <name val="Calibri"/>
    </font>
    <font>
      <b/>
      <sz val="9"/>
      <color rgb="FF1A73E8"/>
      <name val="Calibri"/>
    </font>
    <font>
      <b/>
      <sz val="9"/>
      <color rgb="FF067D62"/>
      <name val="Calibri"/>
    </font>
    <font>
      <b/>
      <sz val="10"/>
      <color rgb="FF232F3E"/>
      <name val="Calibri"/>
    </font>
    <font>
      <sz val="9"/>
      <color rgb="FF1E293B"/>
      <name val="Calibri"/>
    </font>
    <font>
      <i/>
      <sz val="9"/>
      <color rgb="FF4A5568"/>
      <name val="Calibri"/>
    </font>
    <font>
      <sz val="9"/>
      <color rgb="FF4A5568"/>
      <name val="Calibri"/>
    </font>
    <font>
      <sz val="10"/>
      <color rgb="FFD9822B"/>
      <name val="Calibri"/>
    </font>
    <font>
      <sz val="9"/>
      <color rgb="FF1A73E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32F3E"/>
      </patternFill>
    </fill>
    <fill>
      <patternFill patternType="solid">
        <fgColor rgb="FFFFF3CD"/>
      </patternFill>
    </fill>
    <fill>
      <patternFill patternType="solid">
        <fgColor rgb="FF067D62"/>
      </patternFill>
    </fill>
    <fill>
      <patternFill patternType="solid">
        <fgColor rgb="FF1A73E8"/>
      </patternFill>
    </fill>
    <fill>
      <patternFill patternType="solid">
        <fgColor rgb="FFD13212"/>
      </patternFill>
    </fill>
    <fill>
      <patternFill patternType="solid">
        <fgColor rgb="FFFDECEA"/>
      </patternFill>
    </fill>
    <fill>
      <patternFill patternType="solid">
        <fgColor rgb="FFD9822B"/>
      </patternFill>
    </fill>
    <fill>
      <patternFill patternType="solid">
        <fgColor rgb="FFFEF3E2"/>
      </patternFill>
    </fill>
    <fill>
      <patternFill patternType="solid">
        <fgColor rgb="FFEBF4FF"/>
      </patternFill>
    </fill>
    <fill>
      <patternFill patternType="solid">
        <fgColor rgb="FFF8F9FA"/>
      </patternFill>
    </fill>
    <fill>
      <patternFill patternType="solid">
        <fgColor rgb="FFF0F2F5"/>
      </patternFill>
    </fill>
    <fill>
      <patternFill patternType="solid">
        <fgColor rgb="FFFFFFFF"/>
      </patternFill>
    </fill>
    <fill>
      <patternFill patternType="solid">
        <fgColor rgb="FFE6F4F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0" fillId="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4" fillId="13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164" fontId="7" fillId="12" borderId="2" xfId="0" applyNumberFormat="1" applyFont="1" applyFill="1" applyBorder="1" applyAlignment="1">
      <alignment horizontal="center" vertical="center"/>
    </xf>
    <xf numFmtId="165" fontId="11" fillId="12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2" fontId="7" fillId="12" borderId="2" xfId="0" applyNumberFormat="1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center" vertical="center"/>
    </xf>
    <xf numFmtId="164" fontId="7" fillId="13" borderId="2" xfId="0" applyNumberFormat="1" applyFont="1" applyFill="1" applyBorder="1" applyAlignment="1">
      <alignment horizontal="center" vertical="center"/>
    </xf>
    <xf numFmtId="165" fontId="11" fillId="13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2" fontId="7" fillId="13" borderId="2" xfId="0" applyNumberFormat="1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6" fontId="6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67" fontId="7" fillId="12" borderId="2" xfId="0" applyNumberFormat="1" applyFont="1" applyFill="1" applyBorder="1" applyAlignment="1">
      <alignment horizontal="center" vertical="center"/>
    </xf>
    <xf numFmtId="168" fontId="7" fillId="12" borderId="2" xfId="0" applyNumberFormat="1" applyFont="1" applyFill="1" applyBorder="1" applyAlignment="1">
      <alignment horizontal="center" vertical="center"/>
    </xf>
    <xf numFmtId="169" fontId="7" fillId="12" borderId="2" xfId="0" applyNumberFormat="1" applyFont="1" applyFill="1" applyBorder="1" applyAlignment="1">
      <alignment horizontal="center" vertical="center"/>
    </xf>
    <xf numFmtId="167" fontId="7" fillId="13" borderId="2" xfId="0" applyNumberFormat="1" applyFont="1" applyFill="1" applyBorder="1" applyAlignment="1">
      <alignment horizontal="center" vertical="center"/>
    </xf>
    <xf numFmtId="168" fontId="7" fillId="13" borderId="2" xfId="0" applyNumberFormat="1" applyFont="1" applyFill="1" applyBorder="1" applyAlignment="1">
      <alignment horizontal="center" vertical="center"/>
    </xf>
    <xf numFmtId="169" fontId="7" fillId="13" borderId="2" xfId="0" applyNumberFormat="1" applyFont="1" applyFill="1" applyBorder="1" applyAlignment="1">
      <alignment horizontal="center" vertical="center"/>
    </xf>
    <xf numFmtId="168" fontId="11" fillId="13" borderId="2" xfId="0" applyNumberFormat="1" applyFont="1" applyFill="1" applyBorder="1" applyAlignment="1">
      <alignment horizontal="center" vertical="center"/>
    </xf>
    <xf numFmtId="168" fontId="11" fillId="12" borderId="2" xfId="0" applyNumberFormat="1" applyFont="1" applyFill="1" applyBorder="1" applyAlignment="1">
      <alignment horizontal="center" vertical="center"/>
    </xf>
    <xf numFmtId="164" fontId="11" fillId="12" borderId="2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164" fontId="11" fillId="14" borderId="2" xfId="0" applyNumberFormat="1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23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0" fontId="7" fillId="7" borderId="0" xfId="0" applyFont="1" applyFill="1" applyAlignment="1">
      <alignment horizontal="left" vertical="center" wrapText="1"/>
    </xf>
    <xf numFmtId="0" fontId="0" fillId="0" borderId="0" xfId="0"/>
    <xf numFmtId="0" fontId="7" fillId="10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4" fillId="12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showGridLines="0" topLeftCell="A9" workbookViewId="0">
      <selection activeCell="E18" sqref="E18"/>
    </sheetView>
  </sheetViews>
  <sheetFormatPr defaultRowHeight="14.5" x14ac:dyDescent="0.35"/>
  <cols>
    <col min="1" max="1" width="1.453125" customWidth="1"/>
    <col min="2" max="2" width="26" customWidth="1"/>
    <col min="3" max="10" width="14" customWidth="1"/>
    <col min="11" max="11" width="16" customWidth="1"/>
  </cols>
  <sheetData>
    <row r="1" spans="2:11" ht="34" customHeight="1" x14ac:dyDescent="0.35">
      <c r="B1" s="71" t="s">
        <v>0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17" customHeight="1" x14ac:dyDescent="0.35">
      <c r="B2" s="68" t="s">
        <v>176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ht="8" customHeight="1" x14ac:dyDescent="0.35"/>
    <row r="4" spans="2:11" ht="18" customHeight="1" x14ac:dyDescent="0.35">
      <c r="B4" s="78" t="s">
        <v>1</v>
      </c>
      <c r="C4" s="57"/>
      <c r="D4" s="67" t="s">
        <v>2</v>
      </c>
      <c r="E4" s="57"/>
      <c r="F4" s="56" t="s">
        <v>3</v>
      </c>
      <c r="G4" s="57"/>
      <c r="H4" s="62" t="s">
        <v>4</v>
      </c>
      <c r="I4" s="57"/>
    </row>
    <row r="5" spans="2:11" ht="34" customHeight="1" x14ac:dyDescent="0.35">
      <c r="B5" s="75" t="s">
        <v>5</v>
      </c>
      <c r="C5" s="57"/>
      <c r="D5" s="76" t="s">
        <v>6</v>
      </c>
      <c r="E5" s="57"/>
      <c r="F5" s="65" t="s">
        <v>7</v>
      </c>
      <c r="G5" s="57"/>
      <c r="H5" s="77" t="s">
        <v>8</v>
      </c>
      <c r="I5" s="57"/>
    </row>
    <row r="6" spans="2:11" ht="16" customHeight="1" x14ac:dyDescent="0.35">
      <c r="B6" s="70" t="s">
        <v>9</v>
      </c>
      <c r="C6" s="57"/>
      <c r="D6" s="63" t="s">
        <v>10</v>
      </c>
      <c r="E6" s="57"/>
      <c r="F6" s="61" t="s">
        <v>11</v>
      </c>
      <c r="G6" s="57"/>
      <c r="H6" s="64" t="s">
        <v>12</v>
      </c>
      <c r="I6" s="57"/>
    </row>
    <row r="7" spans="2:11" ht="10" customHeight="1" x14ac:dyDescent="0.35"/>
    <row r="8" spans="2:11" ht="22" customHeight="1" x14ac:dyDescent="0.35">
      <c r="B8" s="72" t="s">
        <v>13</v>
      </c>
      <c r="C8" s="59"/>
      <c r="D8" s="59"/>
      <c r="E8" s="59"/>
      <c r="F8" s="59"/>
      <c r="G8" s="59"/>
      <c r="H8" s="59"/>
      <c r="I8" s="59"/>
      <c r="J8" s="59"/>
      <c r="K8" s="59"/>
    </row>
    <row r="9" spans="2:11" ht="68" customHeight="1" x14ac:dyDescent="0.35">
      <c r="B9" s="58" t="s">
        <v>14</v>
      </c>
      <c r="C9" s="59"/>
      <c r="D9" s="59"/>
      <c r="E9" s="59"/>
      <c r="F9" s="59"/>
      <c r="G9" s="59"/>
      <c r="H9" s="59"/>
      <c r="I9" s="59"/>
      <c r="J9" s="59"/>
      <c r="K9" s="59"/>
    </row>
    <row r="10" spans="2:11" ht="4" customHeight="1" x14ac:dyDescent="0.35"/>
    <row r="11" spans="2:11" ht="22" customHeight="1" x14ac:dyDescent="0.35">
      <c r="B11" s="69" t="s">
        <v>15</v>
      </c>
      <c r="C11" s="59"/>
      <c r="D11" s="59"/>
      <c r="E11" s="59"/>
      <c r="F11" s="59"/>
      <c r="G11" s="59"/>
      <c r="H11" s="59"/>
      <c r="I11" s="59"/>
      <c r="J11" s="59"/>
      <c r="K11" s="59"/>
    </row>
    <row r="12" spans="2:11" ht="68" customHeight="1" x14ac:dyDescent="0.35">
      <c r="B12" s="66" t="s">
        <v>16</v>
      </c>
      <c r="C12" s="59"/>
      <c r="D12" s="59"/>
      <c r="E12" s="59"/>
      <c r="F12" s="59"/>
      <c r="G12" s="59"/>
      <c r="H12" s="59"/>
      <c r="I12" s="59"/>
      <c r="J12" s="59"/>
      <c r="K12" s="59"/>
    </row>
    <row r="13" spans="2:11" ht="4" customHeight="1" x14ac:dyDescent="0.35"/>
    <row r="14" spans="2:11" ht="22" customHeight="1" x14ac:dyDescent="0.35">
      <c r="B14" s="73" t="s">
        <v>17</v>
      </c>
      <c r="C14" s="59"/>
      <c r="D14" s="59"/>
      <c r="E14" s="59"/>
      <c r="F14" s="59"/>
      <c r="G14" s="59"/>
      <c r="H14" s="59"/>
      <c r="I14" s="59"/>
      <c r="J14" s="59"/>
      <c r="K14" s="59"/>
    </row>
    <row r="15" spans="2:11" ht="68" customHeight="1" x14ac:dyDescent="0.35">
      <c r="B15" s="60" t="s">
        <v>18</v>
      </c>
      <c r="C15" s="59"/>
      <c r="D15" s="59"/>
      <c r="E15" s="59"/>
      <c r="F15" s="59"/>
      <c r="G15" s="59"/>
      <c r="H15" s="59"/>
      <c r="I15" s="59"/>
      <c r="J15" s="59"/>
      <c r="K15" s="59"/>
    </row>
    <row r="16" spans="2:11" ht="4" customHeight="1" x14ac:dyDescent="0.35"/>
    <row r="17" spans="2:11" ht="16" customHeight="1" x14ac:dyDescent="0.35">
      <c r="B17" s="74" t="s">
        <v>19</v>
      </c>
      <c r="C17" s="59"/>
      <c r="D17" s="59"/>
      <c r="E17" s="59"/>
      <c r="F17" s="59"/>
      <c r="G17" s="59"/>
      <c r="H17" s="59"/>
      <c r="I17" s="59"/>
      <c r="J17" s="59"/>
      <c r="K17" s="59"/>
    </row>
  </sheetData>
  <mergeCells count="21">
    <mergeCell ref="B17:K17"/>
    <mergeCell ref="B5:C5"/>
    <mergeCell ref="D5:E5"/>
    <mergeCell ref="H5:I5"/>
    <mergeCell ref="B4:C4"/>
    <mergeCell ref="B2:K2"/>
    <mergeCell ref="B11:K11"/>
    <mergeCell ref="B6:C6"/>
    <mergeCell ref="B1:K1"/>
    <mergeCell ref="B8:K8"/>
    <mergeCell ref="F4:G4"/>
    <mergeCell ref="B9:K9"/>
    <mergeCell ref="B15:K15"/>
    <mergeCell ref="F6:G6"/>
    <mergeCell ref="H4:I4"/>
    <mergeCell ref="D6:E6"/>
    <mergeCell ref="H6:I6"/>
    <mergeCell ref="F5:G5"/>
    <mergeCell ref="B12:K12"/>
    <mergeCell ref="D4:E4"/>
    <mergeCell ref="B14:K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1"/>
  <sheetViews>
    <sheetView showGridLines="0" tabSelected="1" workbookViewId="0"/>
  </sheetViews>
  <sheetFormatPr defaultRowHeight="14.5" x14ac:dyDescent="0.35"/>
  <cols>
    <col min="1" max="1" width="1.453125" customWidth="1"/>
    <col min="2" max="2" width="22" customWidth="1"/>
    <col min="3" max="3" width="13" customWidth="1"/>
    <col min="4" max="7" width="12" customWidth="1"/>
    <col min="8" max="8" width="14" customWidth="1"/>
    <col min="9" max="9" width="12" customWidth="1"/>
    <col min="10" max="10" width="14" customWidth="1"/>
    <col min="11" max="11" width="26" customWidth="1"/>
  </cols>
  <sheetData>
    <row r="1" spans="2:11" ht="34" customHeight="1" x14ac:dyDescent="0.35">
      <c r="B1" s="71" t="s">
        <v>20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17" customHeight="1" x14ac:dyDescent="0.35">
      <c r="B2" s="68" t="s">
        <v>21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ht="10" customHeight="1" x14ac:dyDescent="0.35"/>
    <row r="4" spans="2:11" ht="20" customHeight="1" x14ac:dyDescent="0.35">
      <c r="B4" s="85" t="s">
        <v>22</v>
      </c>
      <c r="C4" s="59"/>
      <c r="D4" s="59"/>
      <c r="E4" s="59"/>
      <c r="F4" s="59"/>
      <c r="G4" s="59"/>
      <c r="H4" s="59"/>
      <c r="I4" s="59"/>
      <c r="J4" s="59"/>
      <c r="K4" s="59"/>
    </row>
    <row r="5" spans="2:11" ht="22" customHeight="1" x14ac:dyDescent="0.35"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</row>
    <row r="6" spans="2:11" ht="19" customHeight="1" x14ac:dyDescent="0.35">
      <c r="B6" s="2" t="s">
        <v>33</v>
      </c>
      <c r="C6" s="2">
        <v>6.78</v>
      </c>
      <c r="D6" s="2">
        <v>4.8</v>
      </c>
      <c r="E6" s="2">
        <v>8.76</v>
      </c>
      <c r="F6" s="2">
        <v>158</v>
      </c>
      <c r="G6" s="2" t="s">
        <v>34</v>
      </c>
      <c r="H6" s="3">
        <v>2887.7</v>
      </c>
      <c r="I6" s="2" t="s">
        <v>35</v>
      </c>
      <c r="J6" s="2">
        <v>0.83</v>
      </c>
      <c r="K6" s="2" t="s">
        <v>36</v>
      </c>
    </row>
    <row r="7" spans="2:11" ht="19" customHeight="1" x14ac:dyDescent="0.35">
      <c r="B7" s="4" t="s">
        <v>37</v>
      </c>
      <c r="C7" s="4">
        <v>6.78</v>
      </c>
      <c r="D7" s="4">
        <v>4.8</v>
      </c>
      <c r="E7" s="4">
        <v>8.76</v>
      </c>
      <c r="F7" s="4">
        <v>237</v>
      </c>
      <c r="G7" s="4" t="s">
        <v>38</v>
      </c>
      <c r="H7" s="5">
        <v>849.1</v>
      </c>
      <c r="I7" s="4" t="s">
        <v>35</v>
      </c>
      <c r="J7" s="4">
        <v>0.84</v>
      </c>
      <c r="K7" s="4" t="s">
        <v>36</v>
      </c>
    </row>
    <row r="8" spans="2:11" ht="19" customHeight="1" x14ac:dyDescent="0.35">
      <c r="B8" s="2" t="s">
        <v>39</v>
      </c>
      <c r="C8" s="2">
        <v>6.78</v>
      </c>
      <c r="D8" s="2">
        <v>4.8</v>
      </c>
      <c r="E8" s="2">
        <v>8.76</v>
      </c>
      <c r="F8" s="2">
        <v>317</v>
      </c>
      <c r="G8" s="2" t="s">
        <v>40</v>
      </c>
      <c r="H8" s="6">
        <v>479.5</v>
      </c>
      <c r="I8" s="2" t="s">
        <v>35</v>
      </c>
      <c r="J8" s="2">
        <v>0.84</v>
      </c>
      <c r="K8" s="2" t="s">
        <v>36</v>
      </c>
    </row>
    <row r="9" spans="2:11" ht="19" customHeight="1" x14ac:dyDescent="0.35">
      <c r="B9" s="4" t="s">
        <v>41</v>
      </c>
      <c r="C9" s="4">
        <v>6.78</v>
      </c>
      <c r="D9" s="4">
        <v>4.8</v>
      </c>
      <c r="E9" s="4">
        <v>8.76</v>
      </c>
      <c r="F9" s="4">
        <v>159</v>
      </c>
      <c r="G9" s="4" t="s">
        <v>38</v>
      </c>
      <c r="H9" s="7">
        <v>154.6</v>
      </c>
      <c r="I9" s="4" t="s">
        <v>35</v>
      </c>
      <c r="J9" s="4">
        <v>0.83</v>
      </c>
      <c r="K9" s="4" t="s">
        <v>36</v>
      </c>
    </row>
    <row r="10" spans="2:11" ht="19" customHeight="1" x14ac:dyDescent="0.35">
      <c r="B10" s="2" t="s">
        <v>42</v>
      </c>
      <c r="C10" s="2">
        <v>6.78</v>
      </c>
      <c r="D10" s="2">
        <v>4.8</v>
      </c>
      <c r="E10" s="2">
        <v>8.76</v>
      </c>
      <c r="F10" s="2">
        <v>238</v>
      </c>
      <c r="G10" s="2" t="s">
        <v>43</v>
      </c>
      <c r="H10" s="8">
        <v>98.4</v>
      </c>
      <c r="I10" s="2" t="s">
        <v>35</v>
      </c>
      <c r="J10" s="2">
        <v>0.84</v>
      </c>
      <c r="K10" s="2" t="s">
        <v>36</v>
      </c>
    </row>
    <row r="11" spans="2:11" ht="10" customHeight="1" x14ac:dyDescent="0.35"/>
    <row r="12" spans="2:11" ht="20" customHeight="1" x14ac:dyDescent="0.35">
      <c r="B12" s="85" t="s">
        <v>44</v>
      </c>
      <c r="C12" s="59"/>
      <c r="D12" s="59"/>
      <c r="E12" s="59"/>
      <c r="F12" s="59"/>
      <c r="G12" s="59"/>
      <c r="H12" s="59"/>
      <c r="I12" s="59"/>
      <c r="J12" s="59"/>
      <c r="K12" s="59"/>
    </row>
    <row r="13" spans="2:11" ht="22" customHeight="1" x14ac:dyDescent="0.35">
      <c r="B13" s="1" t="s">
        <v>45</v>
      </c>
      <c r="C13" s="1" t="s">
        <v>29</v>
      </c>
      <c r="D13" s="1" t="s">
        <v>46</v>
      </c>
      <c r="E13" s="1" t="s">
        <v>24</v>
      </c>
      <c r="F13" s="1" t="s">
        <v>27</v>
      </c>
      <c r="G13" s="1" t="s">
        <v>47</v>
      </c>
      <c r="H13" s="1" t="s">
        <v>48</v>
      </c>
      <c r="I13" s="1" t="s">
        <v>49</v>
      </c>
      <c r="J13" s="1" t="s">
        <v>50</v>
      </c>
      <c r="K13" s="1" t="s">
        <v>32</v>
      </c>
    </row>
    <row r="14" spans="2:11" ht="19" customHeight="1" x14ac:dyDescent="0.35">
      <c r="B14" s="2" t="s">
        <v>51</v>
      </c>
      <c r="C14" s="2">
        <v>2270.4</v>
      </c>
      <c r="D14" s="2" t="s">
        <v>52</v>
      </c>
      <c r="E14" s="2">
        <v>6.78</v>
      </c>
      <c r="F14" s="2">
        <v>203</v>
      </c>
      <c r="G14" s="2" t="s">
        <v>38</v>
      </c>
      <c r="H14" s="2">
        <v>8.43</v>
      </c>
      <c r="I14" s="9" t="s">
        <v>53</v>
      </c>
      <c r="J14" s="2" t="s">
        <v>54</v>
      </c>
      <c r="K14" s="2" t="s">
        <v>55</v>
      </c>
    </row>
    <row r="15" spans="2:11" ht="19" customHeight="1" x14ac:dyDescent="0.35">
      <c r="B15" s="4" t="s">
        <v>56</v>
      </c>
      <c r="C15" s="4">
        <v>1426.3</v>
      </c>
      <c r="D15" s="4" t="s">
        <v>57</v>
      </c>
      <c r="E15" s="4">
        <v>6.84</v>
      </c>
      <c r="F15" s="4">
        <v>146</v>
      </c>
      <c r="G15" s="4" t="s">
        <v>43</v>
      </c>
      <c r="H15" s="4">
        <v>8.6</v>
      </c>
      <c r="I15" s="10" t="s">
        <v>58</v>
      </c>
      <c r="J15" s="4" t="s">
        <v>59</v>
      </c>
      <c r="K15" s="4" t="s">
        <v>55</v>
      </c>
    </row>
    <row r="16" spans="2:11" ht="19" customHeight="1" x14ac:dyDescent="0.35">
      <c r="B16" s="2" t="s">
        <v>60</v>
      </c>
      <c r="C16" s="2">
        <v>606.5</v>
      </c>
      <c r="D16" s="2" t="s">
        <v>61</v>
      </c>
      <c r="E16" s="2">
        <v>6.78</v>
      </c>
      <c r="F16" s="2">
        <v>199</v>
      </c>
      <c r="G16" s="2" t="s">
        <v>38</v>
      </c>
      <c r="H16" s="2">
        <v>8.43</v>
      </c>
      <c r="I16" s="11" t="s">
        <v>58</v>
      </c>
      <c r="J16" s="2" t="s">
        <v>62</v>
      </c>
      <c r="K16" s="2" t="s">
        <v>55</v>
      </c>
    </row>
    <row r="17" spans="2:11" ht="19" customHeight="1" x14ac:dyDescent="0.35">
      <c r="B17" s="4" t="s">
        <v>63</v>
      </c>
      <c r="C17" s="4">
        <v>88.4</v>
      </c>
      <c r="D17" s="4" t="s">
        <v>64</v>
      </c>
      <c r="E17" s="4">
        <v>6.72</v>
      </c>
      <c r="F17" s="4">
        <v>158</v>
      </c>
      <c r="G17" s="4" t="s">
        <v>38</v>
      </c>
      <c r="H17" s="4">
        <v>8.26</v>
      </c>
      <c r="I17" s="12" t="s">
        <v>65</v>
      </c>
      <c r="J17" s="4" t="s">
        <v>66</v>
      </c>
      <c r="K17" s="4" t="s">
        <v>55</v>
      </c>
    </row>
    <row r="18" spans="2:11" ht="19" customHeight="1" x14ac:dyDescent="0.35">
      <c r="B18" s="2" t="s">
        <v>67</v>
      </c>
      <c r="C18" s="2">
        <v>75</v>
      </c>
      <c r="D18" s="2" t="s">
        <v>68</v>
      </c>
      <c r="E18" s="2">
        <v>6.78</v>
      </c>
      <c r="F18" s="2">
        <v>203</v>
      </c>
      <c r="G18" s="2" t="s">
        <v>38</v>
      </c>
      <c r="H18" s="2">
        <v>8.43</v>
      </c>
      <c r="I18" s="13" t="s">
        <v>65</v>
      </c>
      <c r="J18" s="2" t="s">
        <v>69</v>
      </c>
      <c r="K18" s="2" t="s">
        <v>55</v>
      </c>
    </row>
    <row r="19" spans="2:11" ht="19" customHeight="1" x14ac:dyDescent="0.35">
      <c r="B19" s="4" t="s">
        <v>70</v>
      </c>
      <c r="C19" s="4">
        <v>2.6</v>
      </c>
      <c r="D19" s="4" t="s">
        <v>71</v>
      </c>
      <c r="E19" s="4">
        <v>6.78</v>
      </c>
      <c r="F19" s="4">
        <v>200</v>
      </c>
      <c r="G19" s="4" t="s">
        <v>38</v>
      </c>
      <c r="H19" s="4">
        <v>8.43</v>
      </c>
      <c r="I19" s="14" t="s">
        <v>72</v>
      </c>
      <c r="J19" s="4" t="s">
        <v>73</v>
      </c>
      <c r="K19" s="4" t="s">
        <v>55</v>
      </c>
    </row>
    <row r="20" spans="2:11" ht="10" customHeight="1" x14ac:dyDescent="0.35"/>
    <row r="21" spans="2:11" ht="20" customHeight="1" x14ac:dyDescent="0.35">
      <c r="B21" s="85" t="s">
        <v>74</v>
      </c>
      <c r="C21" s="59"/>
      <c r="D21" s="59"/>
      <c r="E21" s="59"/>
      <c r="F21" s="59"/>
      <c r="G21" s="59"/>
      <c r="H21" s="59"/>
      <c r="I21" s="59"/>
      <c r="J21" s="59"/>
      <c r="K21" s="59"/>
    </row>
    <row r="22" spans="2:11" ht="22" customHeight="1" x14ac:dyDescent="0.35">
      <c r="B22" s="1" t="s">
        <v>75</v>
      </c>
      <c r="C22" s="1" t="s">
        <v>76</v>
      </c>
      <c r="D22" s="1" t="s">
        <v>77</v>
      </c>
      <c r="E22" s="1" t="s">
        <v>78</v>
      </c>
      <c r="F22" s="1" t="s">
        <v>79</v>
      </c>
      <c r="G22" s="1" t="s">
        <v>79</v>
      </c>
      <c r="H22" s="1" t="s">
        <v>79</v>
      </c>
      <c r="I22" s="1" t="s">
        <v>79</v>
      </c>
      <c r="J22" s="1" t="s">
        <v>79</v>
      </c>
      <c r="K22" s="1" t="s">
        <v>80</v>
      </c>
    </row>
    <row r="23" spans="2:11" ht="22" customHeight="1" x14ac:dyDescent="0.35">
      <c r="B23" s="15" t="s">
        <v>81</v>
      </c>
      <c r="C23" s="84" t="e">
        <f>Closing_Stock_000 / (Sold_000 / 30)</f>
        <v>#NAME?</v>
      </c>
      <c r="D23" s="80"/>
      <c r="E23" s="81"/>
      <c r="F23" s="84" t="s">
        <v>82</v>
      </c>
      <c r="G23" s="80"/>
      <c r="H23" s="81"/>
      <c r="I23" s="82" t="s">
        <v>83</v>
      </c>
      <c r="J23" s="81"/>
      <c r="K23" s="16" t="s">
        <v>84</v>
      </c>
    </row>
    <row r="24" spans="2:11" ht="22" customHeight="1" x14ac:dyDescent="0.35">
      <c r="B24" s="17" t="s">
        <v>85</v>
      </c>
      <c r="C24" s="79" t="e">
        <f>(Sold_000 / 30) * 7</f>
        <v>#NAME?</v>
      </c>
      <c r="D24" s="80"/>
      <c r="E24" s="81"/>
      <c r="F24" s="79" t="s">
        <v>86</v>
      </c>
      <c r="G24" s="80"/>
      <c r="H24" s="81"/>
      <c r="I24" s="83" t="s">
        <v>87</v>
      </c>
      <c r="J24" s="81"/>
      <c r="K24" s="19" t="s">
        <v>84</v>
      </c>
    </row>
    <row r="25" spans="2:11" ht="22" customHeight="1" x14ac:dyDescent="0.35">
      <c r="B25" s="15" t="s">
        <v>88</v>
      </c>
      <c r="C25" s="84"/>
      <c r="D25" s="80"/>
      <c r="E25" s="81"/>
      <c r="F25" s="84" t="s">
        <v>89</v>
      </c>
      <c r="G25" s="80"/>
      <c r="H25" s="81"/>
      <c r="I25" s="82" t="s">
        <v>90</v>
      </c>
      <c r="J25" s="81"/>
      <c r="K25" s="16" t="s">
        <v>84</v>
      </c>
    </row>
    <row r="26" spans="2:11" ht="22" customHeight="1" x14ac:dyDescent="0.35">
      <c r="B26" s="17" t="s">
        <v>91</v>
      </c>
      <c r="C26" s="79" t="e">
        <f>IF(Stock_Cover_Days &lt; 5,"CRIT","OK")</f>
        <v>#NAME?</v>
      </c>
      <c r="D26" s="80"/>
      <c r="E26" s="81"/>
      <c r="F26" s="79" t="s">
        <v>92</v>
      </c>
      <c r="G26" s="80"/>
      <c r="H26" s="81"/>
      <c r="I26" s="83" t="s">
        <v>93</v>
      </c>
      <c r="J26" s="81"/>
      <c r="K26" s="19" t="s">
        <v>84</v>
      </c>
    </row>
    <row r="27" spans="2:11" ht="22" customHeight="1" x14ac:dyDescent="0.35">
      <c r="B27" s="15" t="s">
        <v>94</v>
      </c>
      <c r="C27" s="84"/>
      <c r="D27" s="80"/>
      <c r="E27" s="81"/>
      <c r="F27" s="84" t="s">
        <v>95</v>
      </c>
      <c r="G27" s="80"/>
      <c r="H27" s="81"/>
      <c r="I27" s="82" t="s">
        <v>96</v>
      </c>
      <c r="J27" s="81"/>
      <c r="K27" s="16" t="s">
        <v>84</v>
      </c>
    </row>
    <row r="28" spans="2:11" ht="22" customHeight="1" x14ac:dyDescent="0.35">
      <c r="B28" s="17" t="s">
        <v>97</v>
      </c>
      <c r="C28" s="79"/>
      <c r="D28" s="80"/>
      <c r="E28" s="81"/>
      <c r="F28" s="79" t="s">
        <v>98</v>
      </c>
      <c r="G28" s="80"/>
      <c r="H28" s="81"/>
      <c r="I28" s="83" t="s">
        <v>99</v>
      </c>
      <c r="J28" s="81"/>
      <c r="K28" s="19" t="s">
        <v>84</v>
      </c>
    </row>
    <row r="29" spans="2:11" ht="22" customHeight="1" x14ac:dyDescent="0.35">
      <c r="B29" s="15" t="s">
        <v>100</v>
      </c>
      <c r="C29" s="84" t="e">
        <f>(Actual – Target) / Target</f>
        <v>#NAME?</v>
      </c>
      <c r="D29" s="80"/>
      <c r="E29" s="81"/>
      <c r="F29" s="84" t="s">
        <v>101</v>
      </c>
      <c r="G29" s="80"/>
      <c r="H29" s="81"/>
      <c r="I29" s="82" t="s">
        <v>102</v>
      </c>
      <c r="J29" s="81"/>
      <c r="K29" s="16" t="s">
        <v>84</v>
      </c>
    </row>
    <row r="31" spans="2:11" ht="16" customHeight="1" x14ac:dyDescent="0.35">
      <c r="B31" s="74" t="s">
        <v>19</v>
      </c>
      <c r="C31" s="59"/>
      <c r="D31" s="59"/>
      <c r="E31" s="59"/>
      <c r="F31" s="59"/>
      <c r="G31" s="59"/>
      <c r="H31" s="59"/>
      <c r="I31" s="59"/>
      <c r="J31" s="59"/>
      <c r="K31" s="59"/>
    </row>
  </sheetData>
  <mergeCells count="27">
    <mergeCell ref="B1:K1"/>
    <mergeCell ref="C26:E26"/>
    <mergeCell ref="C29:E29"/>
    <mergeCell ref="C25:E25"/>
    <mergeCell ref="F24:H24"/>
    <mergeCell ref="B2:K2"/>
    <mergeCell ref="F29:H29"/>
    <mergeCell ref="F25:H25"/>
    <mergeCell ref="C24:E24"/>
    <mergeCell ref="I29:J29"/>
    <mergeCell ref="B31:K31"/>
    <mergeCell ref="C28:E28"/>
    <mergeCell ref="I24:J24"/>
    <mergeCell ref="B21:K21"/>
    <mergeCell ref="B12:K12"/>
    <mergeCell ref="I23:J23"/>
    <mergeCell ref="F28:H28"/>
    <mergeCell ref="B4:K4"/>
    <mergeCell ref="C23:E23"/>
    <mergeCell ref="I25:J25"/>
    <mergeCell ref="F27:H27"/>
    <mergeCell ref="I28:J28"/>
    <mergeCell ref="F26:H26"/>
    <mergeCell ref="I27:J27"/>
    <mergeCell ref="I26:J26"/>
    <mergeCell ref="F23:H23"/>
    <mergeCell ref="C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3"/>
  <sheetViews>
    <sheetView showGridLines="0" workbookViewId="0"/>
  </sheetViews>
  <sheetFormatPr defaultRowHeight="14.5" x14ac:dyDescent="0.35"/>
  <cols>
    <col min="1" max="1" width="1.453125" customWidth="1"/>
    <col min="2" max="2" width="14" customWidth="1"/>
    <col min="3" max="4" width="17" customWidth="1"/>
    <col min="5" max="5" width="16" customWidth="1"/>
    <col min="6" max="6" width="11" customWidth="1"/>
    <col min="7" max="7" width="10" customWidth="1"/>
    <col min="8" max="8" width="12" customWidth="1"/>
    <col min="9" max="9" width="14" customWidth="1"/>
    <col min="10" max="10" width="26" customWidth="1"/>
  </cols>
  <sheetData>
    <row r="1" spans="2:10" ht="34" customHeight="1" x14ac:dyDescent="0.35">
      <c r="B1" s="71" t="s">
        <v>103</v>
      </c>
      <c r="C1" s="59"/>
      <c r="D1" s="59"/>
      <c r="E1" s="59"/>
      <c r="F1" s="59"/>
      <c r="G1" s="59"/>
      <c r="H1" s="59"/>
      <c r="I1" s="59"/>
      <c r="J1" s="59"/>
    </row>
    <row r="2" spans="2:10" ht="17" customHeight="1" x14ac:dyDescent="0.35">
      <c r="B2" s="68" t="s">
        <v>104</v>
      </c>
      <c r="C2" s="59"/>
      <c r="D2" s="59"/>
      <c r="E2" s="59"/>
      <c r="F2" s="59"/>
      <c r="G2" s="59"/>
      <c r="H2" s="59"/>
      <c r="I2" s="59"/>
      <c r="J2" s="59"/>
    </row>
    <row r="4" spans="2:10" ht="22" customHeight="1" x14ac:dyDescent="0.35"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24</v>
      </c>
      <c r="H4" s="1" t="s">
        <v>27</v>
      </c>
      <c r="I4" s="1" t="s">
        <v>110</v>
      </c>
      <c r="J4" s="1" t="s">
        <v>32</v>
      </c>
    </row>
    <row r="5" spans="2:10" ht="19" customHeight="1" x14ac:dyDescent="0.35">
      <c r="B5" s="20" t="s">
        <v>111</v>
      </c>
      <c r="C5" s="21">
        <v>354810.3</v>
      </c>
      <c r="D5" s="21">
        <v>368309.1</v>
      </c>
      <c r="E5" s="22">
        <v>-13498.8</v>
      </c>
      <c r="F5" s="23">
        <v>-3.6700000000000003E-2</v>
      </c>
      <c r="G5" s="24">
        <v>6.78</v>
      </c>
      <c r="H5" s="6">
        <v>185</v>
      </c>
      <c r="I5" s="3">
        <v>10</v>
      </c>
      <c r="J5" s="25" t="s">
        <v>112</v>
      </c>
    </row>
    <row r="6" spans="2:10" ht="19" customHeight="1" x14ac:dyDescent="0.35">
      <c r="B6" s="26" t="s">
        <v>113</v>
      </c>
      <c r="C6" s="27">
        <v>334530.90000000002</v>
      </c>
      <c r="D6" s="27">
        <v>346374.3</v>
      </c>
      <c r="E6" s="28">
        <v>-11843.4</v>
      </c>
      <c r="F6" s="29">
        <v>-3.4200000000000001E-2</v>
      </c>
      <c r="G6" s="30">
        <v>6.78</v>
      </c>
      <c r="H6" s="7">
        <v>183</v>
      </c>
      <c r="I6" s="5">
        <v>11</v>
      </c>
      <c r="J6" s="31" t="s">
        <v>112</v>
      </c>
    </row>
    <row r="7" spans="2:10" ht="19" customHeight="1" x14ac:dyDescent="0.35">
      <c r="B7" s="20" t="s">
        <v>114</v>
      </c>
      <c r="C7" s="21">
        <v>385233.1</v>
      </c>
      <c r="D7" s="21">
        <v>388549.9</v>
      </c>
      <c r="E7" s="22">
        <v>-3316.8</v>
      </c>
      <c r="F7" s="23">
        <v>-8.5000000000000006E-3</v>
      </c>
      <c r="G7" s="24">
        <v>6.79</v>
      </c>
      <c r="H7" s="6">
        <v>185</v>
      </c>
      <c r="I7" s="3">
        <v>10</v>
      </c>
      <c r="J7" s="25" t="s">
        <v>112</v>
      </c>
    </row>
    <row r="8" spans="2:10" ht="19" customHeight="1" x14ac:dyDescent="0.35">
      <c r="B8" s="26" t="s">
        <v>115</v>
      </c>
      <c r="C8" s="27">
        <v>370738.4</v>
      </c>
      <c r="D8" s="27">
        <v>391012.1</v>
      </c>
      <c r="E8" s="28">
        <v>-20273.7</v>
      </c>
      <c r="F8" s="29">
        <v>-5.1900000000000002E-2</v>
      </c>
      <c r="G8" s="30">
        <v>6.77</v>
      </c>
      <c r="H8" s="7">
        <v>188</v>
      </c>
      <c r="I8" s="5">
        <v>9</v>
      </c>
      <c r="J8" s="31" t="s">
        <v>112</v>
      </c>
    </row>
    <row r="9" spans="2:10" ht="19" customHeight="1" x14ac:dyDescent="0.35">
      <c r="B9" s="20" t="s">
        <v>116</v>
      </c>
      <c r="C9" s="21">
        <v>418055.2</v>
      </c>
      <c r="D9" s="21">
        <v>426234.3</v>
      </c>
      <c r="E9" s="22">
        <v>-8179</v>
      </c>
      <c r="F9" s="23">
        <v>-1.9199999999999998E-2</v>
      </c>
      <c r="G9" s="24">
        <v>6.78</v>
      </c>
      <c r="H9" s="6">
        <v>184</v>
      </c>
      <c r="I9" s="3">
        <v>11</v>
      </c>
      <c r="J9" s="25" t="s">
        <v>112</v>
      </c>
    </row>
    <row r="10" spans="2:10" ht="19" customHeight="1" x14ac:dyDescent="0.35">
      <c r="B10" s="26" t="s">
        <v>117</v>
      </c>
      <c r="C10" s="27">
        <v>438160.1</v>
      </c>
      <c r="D10" s="27">
        <v>446712.1</v>
      </c>
      <c r="E10" s="28">
        <v>-8552</v>
      </c>
      <c r="F10" s="29">
        <v>-1.9099999999999999E-2</v>
      </c>
      <c r="G10" s="30">
        <v>6.78</v>
      </c>
      <c r="H10" s="7">
        <v>184</v>
      </c>
      <c r="I10" s="5">
        <v>10</v>
      </c>
      <c r="J10" s="31" t="s">
        <v>112</v>
      </c>
    </row>
    <row r="11" spans="2:10" ht="22" customHeight="1" x14ac:dyDescent="0.35">
      <c r="B11" s="32" t="s">
        <v>118</v>
      </c>
      <c r="C11" s="33">
        <f>SUM(C5:C10)</f>
        <v>2301527.9999999995</v>
      </c>
      <c r="D11" s="33">
        <f>SUM(D5:D10)</f>
        <v>2367191.7999999998</v>
      </c>
      <c r="E11" s="34">
        <f>C11-D11</f>
        <v>-65663.800000000279</v>
      </c>
      <c r="F11" s="35">
        <f>E11/D11</f>
        <v>-2.7739112648159852E-2</v>
      </c>
      <c r="G11" s="36">
        <f>AVERAGE(G5:G10)</f>
        <v>6.78</v>
      </c>
      <c r="H11" s="37">
        <f>SUM(H5:H10)</f>
        <v>1109</v>
      </c>
      <c r="I11" s="37">
        <f>SUM(I5:I10)</f>
        <v>61</v>
      </c>
      <c r="J11" s="32" t="s">
        <v>79</v>
      </c>
    </row>
    <row r="13" spans="2:10" ht="16" customHeight="1" x14ac:dyDescent="0.35">
      <c r="B13" s="74" t="s">
        <v>19</v>
      </c>
      <c r="C13" s="59"/>
      <c r="D13" s="59"/>
      <c r="E13" s="59"/>
      <c r="F13" s="59"/>
      <c r="G13" s="59"/>
      <c r="H13" s="59"/>
      <c r="I13" s="59"/>
      <c r="J13" s="59"/>
    </row>
  </sheetData>
  <mergeCells count="3">
    <mergeCell ref="B13:J13"/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6"/>
  <sheetViews>
    <sheetView showGridLines="0" workbookViewId="0"/>
  </sheetViews>
  <sheetFormatPr defaultRowHeight="14.5" x14ac:dyDescent="0.35"/>
  <cols>
    <col min="1" max="1" width="1.453125" customWidth="1"/>
    <col min="2" max="2" width="30" customWidth="1"/>
    <col min="3" max="3" width="11" customWidth="1"/>
    <col min="4" max="4" width="12" customWidth="1"/>
    <col min="5" max="6" width="11" customWidth="1"/>
    <col min="7" max="7" width="10" customWidth="1"/>
    <col min="8" max="8" width="14" customWidth="1"/>
    <col min="9" max="9" width="16" customWidth="1"/>
    <col min="10" max="10" width="26" customWidth="1"/>
  </cols>
  <sheetData>
    <row r="1" spans="2:10" ht="34" customHeight="1" x14ac:dyDescent="0.35">
      <c r="B1" s="71" t="s">
        <v>119</v>
      </c>
      <c r="C1" s="59"/>
      <c r="D1" s="59"/>
      <c r="E1" s="59"/>
      <c r="F1" s="59"/>
      <c r="G1" s="59"/>
      <c r="H1" s="59"/>
      <c r="I1" s="59"/>
      <c r="J1" s="59"/>
    </row>
    <row r="2" spans="2:10" ht="17" customHeight="1" x14ac:dyDescent="0.35">
      <c r="B2" s="68" t="s">
        <v>120</v>
      </c>
      <c r="C2" s="59"/>
      <c r="D2" s="59"/>
      <c r="E2" s="59"/>
      <c r="F2" s="59"/>
      <c r="G2" s="59"/>
      <c r="H2" s="59"/>
      <c r="I2" s="59"/>
      <c r="J2" s="59"/>
    </row>
    <row r="4" spans="2:10" ht="22" customHeight="1" x14ac:dyDescent="0.35">
      <c r="B4" s="1" t="s">
        <v>121</v>
      </c>
      <c r="C4" s="1" t="s">
        <v>30</v>
      </c>
      <c r="D4" s="1" t="s">
        <v>31</v>
      </c>
      <c r="E4" s="1" t="s">
        <v>47</v>
      </c>
      <c r="F4" s="1" t="s">
        <v>27</v>
      </c>
      <c r="G4" s="1" t="s">
        <v>48</v>
      </c>
      <c r="H4" s="1" t="s">
        <v>49</v>
      </c>
      <c r="I4" s="1" t="s">
        <v>29</v>
      </c>
      <c r="J4" s="1" t="s">
        <v>80</v>
      </c>
    </row>
    <row r="5" spans="2:10" ht="19" customHeight="1" x14ac:dyDescent="0.35">
      <c r="B5" s="15" t="s">
        <v>122</v>
      </c>
      <c r="C5" s="38">
        <v>0.95699999999999996</v>
      </c>
      <c r="D5" s="39">
        <v>0.56000000000000005</v>
      </c>
      <c r="E5" s="38">
        <v>0.96299999999999997</v>
      </c>
      <c r="F5" s="6">
        <v>23</v>
      </c>
      <c r="G5" s="40">
        <v>8.4</v>
      </c>
      <c r="H5" s="9" t="s">
        <v>53</v>
      </c>
      <c r="I5" s="21">
        <v>75</v>
      </c>
      <c r="J5" s="25" t="s">
        <v>55</v>
      </c>
    </row>
    <row r="6" spans="2:10" ht="19" customHeight="1" x14ac:dyDescent="0.35">
      <c r="B6" s="17" t="s">
        <v>123</v>
      </c>
      <c r="C6" s="41">
        <v>0.96099999999999997</v>
      </c>
      <c r="D6" s="42">
        <v>0.54</v>
      </c>
      <c r="E6" s="41">
        <v>0.97099999999999997</v>
      </c>
      <c r="F6" s="4">
        <v>19</v>
      </c>
      <c r="G6" s="43">
        <v>8.3000000000000007</v>
      </c>
      <c r="H6" s="18" t="s">
        <v>53</v>
      </c>
      <c r="I6" s="27">
        <v>88.4</v>
      </c>
      <c r="J6" s="31" t="s">
        <v>55</v>
      </c>
    </row>
    <row r="7" spans="2:10" ht="19" customHeight="1" x14ac:dyDescent="0.35">
      <c r="B7" s="15" t="s">
        <v>124</v>
      </c>
      <c r="C7" s="38">
        <v>0.96099999999999997</v>
      </c>
      <c r="D7" s="39">
        <v>0.55000000000000004</v>
      </c>
      <c r="E7" s="38">
        <v>0.97099999999999997</v>
      </c>
      <c r="F7" s="6">
        <v>21</v>
      </c>
      <c r="G7" s="40">
        <v>8.3000000000000007</v>
      </c>
      <c r="H7" s="9" t="s">
        <v>53</v>
      </c>
      <c r="I7" s="21">
        <v>22.1</v>
      </c>
      <c r="J7" s="25" t="s">
        <v>55</v>
      </c>
    </row>
    <row r="8" spans="2:10" ht="19" customHeight="1" x14ac:dyDescent="0.35">
      <c r="B8" s="17" t="s">
        <v>125</v>
      </c>
      <c r="C8" s="41">
        <v>0.96299999999999997</v>
      </c>
      <c r="D8" s="42">
        <v>0.54</v>
      </c>
      <c r="E8" s="41">
        <v>0.97099999999999997</v>
      </c>
      <c r="F8" s="7">
        <v>28</v>
      </c>
      <c r="G8" s="43">
        <v>8.4</v>
      </c>
      <c r="H8" s="10" t="s">
        <v>58</v>
      </c>
      <c r="I8" s="27">
        <v>52.4</v>
      </c>
      <c r="J8" s="31" t="s">
        <v>55</v>
      </c>
    </row>
    <row r="9" spans="2:10" ht="19" customHeight="1" x14ac:dyDescent="0.35">
      <c r="B9" s="15" t="s">
        <v>126</v>
      </c>
      <c r="C9" s="38">
        <v>0.96299999999999997</v>
      </c>
      <c r="D9" s="39">
        <v>0.56000000000000005</v>
      </c>
      <c r="E9" s="38">
        <v>0.97099999999999997</v>
      </c>
      <c r="F9" s="2">
        <v>18</v>
      </c>
      <c r="G9" s="40">
        <v>8.4</v>
      </c>
      <c r="H9" s="11" t="s">
        <v>58</v>
      </c>
      <c r="I9" s="21">
        <v>34.200000000000003</v>
      </c>
      <c r="J9" s="25" t="s">
        <v>55</v>
      </c>
    </row>
    <row r="10" spans="2:10" ht="19" customHeight="1" x14ac:dyDescent="0.35">
      <c r="B10" s="17" t="s">
        <v>127</v>
      </c>
      <c r="C10" s="41">
        <v>0.96399999999999997</v>
      </c>
      <c r="D10" s="44">
        <v>1.6</v>
      </c>
      <c r="E10" s="41">
        <v>0.97099999999999997</v>
      </c>
      <c r="F10" s="7">
        <v>27</v>
      </c>
      <c r="G10" s="43">
        <v>8.4</v>
      </c>
      <c r="H10" s="10" t="s">
        <v>58</v>
      </c>
      <c r="I10" s="27">
        <v>186.1</v>
      </c>
      <c r="J10" s="31" t="s">
        <v>55</v>
      </c>
    </row>
    <row r="11" spans="2:10" ht="19" customHeight="1" x14ac:dyDescent="0.35">
      <c r="B11" s="15" t="s">
        <v>128</v>
      </c>
      <c r="C11" s="38">
        <v>0.96599999999999997</v>
      </c>
      <c r="D11" s="45">
        <v>1.63</v>
      </c>
      <c r="E11" s="38">
        <v>0.97099999999999997</v>
      </c>
      <c r="F11" s="6">
        <v>31</v>
      </c>
      <c r="G11" s="40">
        <v>8.4</v>
      </c>
      <c r="H11" s="13" t="s">
        <v>65</v>
      </c>
      <c r="I11" s="21">
        <v>62.7</v>
      </c>
      <c r="J11" s="25" t="s">
        <v>55</v>
      </c>
    </row>
    <row r="12" spans="2:10" ht="19" customHeight="1" x14ac:dyDescent="0.35">
      <c r="B12" s="17" t="s">
        <v>129</v>
      </c>
      <c r="C12" s="41">
        <v>0.96399999999999997</v>
      </c>
      <c r="D12" s="44">
        <v>1.61</v>
      </c>
      <c r="E12" s="41">
        <v>0.97099999999999997</v>
      </c>
      <c r="F12" s="7">
        <v>24</v>
      </c>
      <c r="G12" s="43">
        <v>8.4</v>
      </c>
      <c r="H12" s="12" t="s">
        <v>65</v>
      </c>
      <c r="I12" s="27">
        <v>16.100000000000001</v>
      </c>
      <c r="J12" s="31" t="s">
        <v>55</v>
      </c>
    </row>
    <row r="13" spans="2:10" ht="19" customHeight="1" x14ac:dyDescent="0.35">
      <c r="B13" s="15" t="s">
        <v>130</v>
      </c>
      <c r="C13" s="38">
        <v>0.96599999999999997</v>
      </c>
      <c r="D13" s="45">
        <v>1.59</v>
      </c>
      <c r="E13" s="38">
        <v>0.96299999999999997</v>
      </c>
      <c r="F13" s="2">
        <v>14</v>
      </c>
      <c r="G13" s="40">
        <v>8.4</v>
      </c>
      <c r="H13" s="13" t="s">
        <v>65</v>
      </c>
      <c r="I13" s="46">
        <v>412.3</v>
      </c>
      <c r="J13" s="25" t="s">
        <v>55</v>
      </c>
    </row>
    <row r="14" spans="2:10" ht="19" customHeight="1" x14ac:dyDescent="0.35">
      <c r="B14" s="17" t="s">
        <v>131</v>
      </c>
      <c r="C14" s="41">
        <v>0.96599999999999997</v>
      </c>
      <c r="D14" s="47">
        <v>1.35</v>
      </c>
      <c r="E14" s="41">
        <v>0.95899999999999996</v>
      </c>
      <c r="F14" s="4">
        <v>16</v>
      </c>
      <c r="G14" s="43">
        <v>8.6</v>
      </c>
      <c r="H14" s="12" t="s">
        <v>65</v>
      </c>
      <c r="I14" s="48">
        <v>924.5</v>
      </c>
      <c r="J14" s="31" t="s">
        <v>55</v>
      </c>
    </row>
    <row r="16" spans="2:10" ht="16" customHeight="1" x14ac:dyDescent="0.35">
      <c r="B16" s="74" t="s">
        <v>19</v>
      </c>
      <c r="C16" s="59"/>
      <c r="D16" s="59"/>
      <c r="E16" s="59"/>
      <c r="F16" s="59"/>
      <c r="G16" s="59"/>
      <c r="H16" s="59"/>
      <c r="I16" s="59"/>
      <c r="J16" s="59"/>
    </row>
  </sheetData>
  <mergeCells count="3">
    <mergeCell ref="B16:J16"/>
    <mergeCell ref="B1:J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1"/>
  <sheetViews>
    <sheetView showGridLines="0" workbookViewId="0"/>
  </sheetViews>
  <sheetFormatPr defaultRowHeight="14.5" x14ac:dyDescent="0.35"/>
  <cols>
    <col min="1" max="1" width="1.453125" customWidth="1"/>
    <col min="2" max="2" width="26" customWidth="1"/>
    <col min="3" max="3" width="16" customWidth="1"/>
    <col min="4" max="7" width="12" customWidth="1"/>
    <col min="8" max="9" width="14" customWidth="1"/>
    <col min="10" max="10" width="24" customWidth="1"/>
  </cols>
  <sheetData>
    <row r="1" spans="2:11" ht="34" customHeight="1" x14ac:dyDescent="0.35">
      <c r="B1" s="71" t="s">
        <v>132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17" customHeight="1" x14ac:dyDescent="0.35">
      <c r="B2" s="68" t="s">
        <v>133</v>
      </c>
      <c r="C2" s="59"/>
      <c r="D2" s="59"/>
      <c r="E2" s="59"/>
      <c r="F2" s="59"/>
      <c r="G2" s="59"/>
      <c r="H2" s="59"/>
      <c r="I2" s="59"/>
      <c r="J2" s="59"/>
      <c r="K2" s="59"/>
    </row>
    <row r="4" spans="2:11" ht="22" customHeight="1" x14ac:dyDescent="0.35">
      <c r="B4" s="1" t="s">
        <v>45</v>
      </c>
      <c r="C4" s="1" t="s">
        <v>29</v>
      </c>
      <c r="D4" s="1" t="s">
        <v>46</v>
      </c>
      <c r="E4" s="1" t="s">
        <v>24</v>
      </c>
      <c r="F4" s="1" t="s">
        <v>27</v>
      </c>
      <c r="G4" s="1" t="s">
        <v>50</v>
      </c>
      <c r="H4" s="1" t="s">
        <v>134</v>
      </c>
      <c r="I4" s="1" t="s">
        <v>135</v>
      </c>
      <c r="J4" s="1" t="s">
        <v>32</v>
      </c>
    </row>
    <row r="5" spans="2:11" ht="19" customHeight="1" x14ac:dyDescent="0.35">
      <c r="B5" s="2" t="s">
        <v>51</v>
      </c>
      <c r="C5" s="3">
        <v>2270.4</v>
      </c>
      <c r="D5" s="2" t="s">
        <v>52</v>
      </c>
      <c r="E5" s="2">
        <v>6.78</v>
      </c>
      <c r="F5" s="2">
        <v>203</v>
      </c>
      <c r="G5" s="2" t="s">
        <v>54</v>
      </c>
      <c r="H5" s="9" t="s">
        <v>53</v>
      </c>
      <c r="I5" s="46">
        <v>-3500</v>
      </c>
      <c r="J5" s="2" t="s">
        <v>55</v>
      </c>
    </row>
    <row r="6" spans="2:11" ht="19" customHeight="1" x14ac:dyDescent="0.35">
      <c r="B6" s="4" t="s">
        <v>56</v>
      </c>
      <c r="C6" s="5">
        <v>1426.3</v>
      </c>
      <c r="D6" s="4" t="s">
        <v>57</v>
      </c>
      <c r="E6" s="4">
        <v>6.84</v>
      </c>
      <c r="F6" s="4">
        <v>146</v>
      </c>
      <c r="G6" s="4" t="s">
        <v>59</v>
      </c>
      <c r="H6" s="10" t="s">
        <v>58</v>
      </c>
      <c r="I6" s="48">
        <v>-4100</v>
      </c>
      <c r="J6" s="4" t="s">
        <v>55</v>
      </c>
    </row>
    <row r="7" spans="2:11" ht="19" customHeight="1" x14ac:dyDescent="0.35">
      <c r="B7" s="2" t="s">
        <v>60</v>
      </c>
      <c r="C7" s="6">
        <v>606.5</v>
      </c>
      <c r="D7" s="2" t="s">
        <v>61</v>
      </c>
      <c r="E7" s="2">
        <v>6.78</v>
      </c>
      <c r="F7" s="2">
        <v>199</v>
      </c>
      <c r="G7" s="2" t="s">
        <v>62</v>
      </c>
      <c r="H7" s="11" t="s">
        <v>58</v>
      </c>
      <c r="I7" s="46">
        <v>-1200</v>
      </c>
      <c r="J7" s="2" t="s">
        <v>55</v>
      </c>
    </row>
    <row r="8" spans="2:11" ht="19" customHeight="1" x14ac:dyDescent="0.35">
      <c r="B8" s="4" t="s">
        <v>63</v>
      </c>
      <c r="C8" s="49">
        <v>88.4</v>
      </c>
      <c r="D8" s="4" t="s">
        <v>64</v>
      </c>
      <c r="E8" s="4">
        <v>6.72</v>
      </c>
      <c r="F8" s="4">
        <v>158</v>
      </c>
      <c r="G8" s="4" t="s">
        <v>66</v>
      </c>
      <c r="H8" s="12" t="s">
        <v>65</v>
      </c>
      <c r="I8" s="48">
        <v>-900</v>
      </c>
      <c r="J8" s="4" t="s">
        <v>55</v>
      </c>
    </row>
    <row r="9" spans="2:11" ht="19" customHeight="1" x14ac:dyDescent="0.35">
      <c r="B9" s="2" t="s">
        <v>67</v>
      </c>
      <c r="C9" s="8">
        <v>75</v>
      </c>
      <c r="D9" s="2" t="s">
        <v>68</v>
      </c>
      <c r="E9" s="2">
        <v>6.78</v>
      </c>
      <c r="F9" s="2">
        <v>203</v>
      </c>
      <c r="G9" s="2" t="s">
        <v>69</v>
      </c>
      <c r="H9" s="13" t="s">
        <v>65</v>
      </c>
      <c r="I9" s="46">
        <v>-1200</v>
      </c>
      <c r="J9" s="2" t="s">
        <v>55</v>
      </c>
    </row>
    <row r="10" spans="2:11" ht="19" customHeight="1" x14ac:dyDescent="0.35">
      <c r="B10" s="4" t="s">
        <v>70</v>
      </c>
      <c r="C10" s="49">
        <v>2.6</v>
      </c>
      <c r="D10" s="4" t="s">
        <v>71</v>
      </c>
      <c r="E10" s="4">
        <v>6.78</v>
      </c>
      <c r="F10" s="4">
        <v>200</v>
      </c>
      <c r="G10" s="4" t="s">
        <v>73</v>
      </c>
      <c r="H10" s="14" t="s">
        <v>72</v>
      </c>
      <c r="I10" s="48">
        <v>-254</v>
      </c>
      <c r="J10" s="4" t="s">
        <v>55</v>
      </c>
    </row>
    <row r="11" spans="2:11" ht="19" customHeight="1" x14ac:dyDescent="0.35">
      <c r="B11" s="50" t="s">
        <v>136</v>
      </c>
      <c r="C11" s="50">
        <v>4469.3</v>
      </c>
      <c r="D11" s="50" t="s">
        <v>137</v>
      </c>
      <c r="E11" s="50">
        <v>6.78</v>
      </c>
      <c r="F11" s="50">
        <v>1109</v>
      </c>
      <c r="G11" s="50" t="s">
        <v>138</v>
      </c>
      <c r="H11" s="50" t="s">
        <v>79</v>
      </c>
      <c r="I11" s="51">
        <v>-11154</v>
      </c>
      <c r="J11" s="50" t="s">
        <v>55</v>
      </c>
    </row>
    <row r="12" spans="2:11" ht="10" customHeight="1" x14ac:dyDescent="0.35"/>
    <row r="13" spans="2:11" ht="20" customHeight="1" x14ac:dyDescent="0.35">
      <c r="B13" s="85" t="s">
        <v>139</v>
      </c>
      <c r="C13" s="59"/>
      <c r="D13" s="59"/>
      <c r="E13" s="59"/>
      <c r="F13" s="59"/>
      <c r="G13" s="59"/>
      <c r="H13" s="59"/>
      <c r="I13" s="59"/>
      <c r="J13" s="59"/>
      <c r="K13" s="59"/>
    </row>
    <row r="14" spans="2:11" ht="22" customHeight="1" x14ac:dyDescent="0.35">
      <c r="B14" s="1" t="s">
        <v>23</v>
      </c>
      <c r="C14" s="1" t="s">
        <v>29</v>
      </c>
      <c r="D14" s="1" t="s">
        <v>46</v>
      </c>
      <c r="E14" s="1" t="s">
        <v>135</v>
      </c>
      <c r="F14" s="1" t="s">
        <v>140</v>
      </c>
      <c r="G14" s="1" t="s">
        <v>30</v>
      </c>
      <c r="H14" s="1" t="s">
        <v>27</v>
      </c>
      <c r="I14" s="1" t="s">
        <v>141</v>
      </c>
      <c r="J14" s="1" t="s">
        <v>32</v>
      </c>
    </row>
    <row r="15" spans="2:11" ht="19" customHeight="1" x14ac:dyDescent="0.35">
      <c r="B15" s="2" t="s">
        <v>33</v>
      </c>
      <c r="C15" s="3">
        <v>2887.7</v>
      </c>
      <c r="D15" s="2" t="s">
        <v>142</v>
      </c>
      <c r="E15" s="46">
        <v>-7229.9</v>
      </c>
      <c r="F15" s="2">
        <v>14790.5</v>
      </c>
      <c r="G15" s="2" t="s">
        <v>35</v>
      </c>
      <c r="H15" s="2">
        <v>158</v>
      </c>
      <c r="I15" s="2" t="s">
        <v>143</v>
      </c>
      <c r="J15" s="2" t="s">
        <v>55</v>
      </c>
    </row>
    <row r="16" spans="2:11" ht="19" customHeight="1" x14ac:dyDescent="0.35">
      <c r="B16" s="4" t="s">
        <v>37</v>
      </c>
      <c r="C16" s="5">
        <v>849.1</v>
      </c>
      <c r="D16" s="4" t="s">
        <v>144</v>
      </c>
      <c r="E16" s="48">
        <v>-2062.3000000000002</v>
      </c>
      <c r="F16" s="4">
        <v>4215</v>
      </c>
      <c r="G16" s="4" t="s">
        <v>35</v>
      </c>
      <c r="H16" s="4">
        <v>237</v>
      </c>
      <c r="I16" s="4" t="s">
        <v>145</v>
      </c>
      <c r="J16" s="4" t="s">
        <v>55</v>
      </c>
    </row>
    <row r="17" spans="2:11" ht="19" customHeight="1" x14ac:dyDescent="0.35">
      <c r="B17" s="2" t="s">
        <v>39</v>
      </c>
      <c r="C17" s="6">
        <v>479.5</v>
      </c>
      <c r="D17" s="2" t="s">
        <v>146</v>
      </c>
      <c r="E17" s="46">
        <v>-1228.9000000000001</v>
      </c>
      <c r="F17" s="2">
        <v>2512.5</v>
      </c>
      <c r="G17" s="2" t="s">
        <v>35</v>
      </c>
      <c r="H17" s="2">
        <v>317</v>
      </c>
      <c r="I17" s="2" t="s">
        <v>147</v>
      </c>
      <c r="J17" s="2" t="s">
        <v>55</v>
      </c>
    </row>
    <row r="18" spans="2:11" ht="19" customHeight="1" x14ac:dyDescent="0.35">
      <c r="B18" s="4" t="s">
        <v>41</v>
      </c>
      <c r="C18" s="7">
        <v>154.6</v>
      </c>
      <c r="D18" s="4" t="s">
        <v>148</v>
      </c>
      <c r="E18" s="48">
        <v>-388.5</v>
      </c>
      <c r="F18" s="4">
        <v>795.5</v>
      </c>
      <c r="G18" s="4" t="s">
        <v>35</v>
      </c>
      <c r="H18" s="4">
        <v>159</v>
      </c>
      <c r="I18" s="4" t="s">
        <v>149</v>
      </c>
      <c r="J18" s="4" t="s">
        <v>55</v>
      </c>
    </row>
    <row r="19" spans="2:11" ht="19" customHeight="1" x14ac:dyDescent="0.35">
      <c r="B19" s="2" t="s">
        <v>42</v>
      </c>
      <c r="C19" s="8">
        <v>98.4</v>
      </c>
      <c r="D19" s="2" t="s">
        <v>150</v>
      </c>
      <c r="E19" s="46">
        <v>-244.2</v>
      </c>
      <c r="F19" s="2">
        <v>498.2</v>
      </c>
      <c r="G19" s="2" t="s">
        <v>35</v>
      </c>
      <c r="H19" s="2">
        <v>238</v>
      </c>
      <c r="I19" s="2" t="s">
        <v>151</v>
      </c>
      <c r="J19" s="2" t="s">
        <v>55</v>
      </c>
    </row>
    <row r="21" spans="2:11" ht="16" customHeight="1" x14ac:dyDescent="0.35">
      <c r="B21" s="74" t="s">
        <v>19</v>
      </c>
      <c r="C21" s="59"/>
      <c r="D21" s="59"/>
      <c r="E21" s="59"/>
      <c r="F21" s="59"/>
      <c r="G21" s="59"/>
      <c r="H21" s="59"/>
      <c r="I21" s="59"/>
      <c r="J21" s="59"/>
      <c r="K21" s="59"/>
    </row>
  </sheetData>
  <mergeCells count="4">
    <mergeCell ref="B21:K21"/>
    <mergeCell ref="B13:K13"/>
    <mergeCell ref="B1:K1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1"/>
  <sheetViews>
    <sheetView showGridLines="0" workbookViewId="0"/>
  </sheetViews>
  <sheetFormatPr defaultRowHeight="14.5" x14ac:dyDescent="0.35"/>
  <cols>
    <col min="1" max="1" width="1.453125" customWidth="1"/>
    <col min="2" max="2" width="30" customWidth="1"/>
    <col min="3" max="3" width="52" customWidth="1"/>
    <col min="4" max="4" width="26" customWidth="1"/>
    <col min="5" max="5" width="18" customWidth="1"/>
  </cols>
  <sheetData>
    <row r="1" spans="2:5" ht="34" customHeight="1" x14ac:dyDescent="0.35">
      <c r="B1" s="71" t="s">
        <v>152</v>
      </c>
      <c r="C1" s="59"/>
      <c r="D1" s="59"/>
      <c r="E1" s="59"/>
    </row>
    <row r="2" spans="2:5" ht="17" customHeight="1" x14ac:dyDescent="0.35">
      <c r="B2" s="68" t="s">
        <v>153</v>
      </c>
      <c r="C2" s="59"/>
      <c r="D2" s="59"/>
      <c r="E2" s="59"/>
    </row>
    <row r="4" spans="2:5" ht="22" customHeight="1" x14ac:dyDescent="0.35">
      <c r="B4" s="1" t="s">
        <v>154</v>
      </c>
      <c r="C4" s="1" t="s">
        <v>155</v>
      </c>
      <c r="D4" s="1" t="s">
        <v>156</v>
      </c>
      <c r="E4" s="1" t="s">
        <v>157</v>
      </c>
    </row>
    <row r="5" spans="2:5" ht="26" customHeight="1" x14ac:dyDescent="0.35">
      <c r="B5" s="15" t="s">
        <v>158</v>
      </c>
      <c r="C5" s="52" t="s">
        <v>159</v>
      </c>
      <c r="D5" s="53" t="s">
        <v>160</v>
      </c>
      <c r="E5" s="2" t="s">
        <v>161</v>
      </c>
    </row>
    <row r="6" spans="2:5" ht="26" customHeight="1" x14ac:dyDescent="0.35">
      <c r="B6" s="17" t="s">
        <v>162</v>
      </c>
      <c r="C6" s="54" t="s">
        <v>163</v>
      </c>
      <c r="D6" s="55" t="s">
        <v>164</v>
      </c>
      <c r="E6" s="4" t="s">
        <v>165</v>
      </c>
    </row>
    <row r="7" spans="2:5" ht="26" customHeight="1" x14ac:dyDescent="0.35">
      <c r="B7" s="15" t="s">
        <v>166</v>
      </c>
      <c r="C7" s="52" t="s">
        <v>167</v>
      </c>
      <c r="D7" s="53" t="s">
        <v>168</v>
      </c>
      <c r="E7" s="2" t="s">
        <v>165</v>
      </c>
    </row>
    <row r="8" spans="2:5" ht="26" customHeight="1" x14ac:dyDescent="0.35">
      <c r="B8" s="17" t="s">
        <v>169</v>
      </c>
      <c r="C8" s="54" t="s">
        <v>170</v>
      </c>
      <c r="D8" s="55" t="s">
        <v>171</v>
      </c>
      <c r="E8" s="4" t="s">
        <v>165</v>
      </c>
    </row>
    <row r="9" spans="2:5" ht="26" customHeight="1" x14ac:dyDescent="0.35">
      <c r="B9" s="15" t="s">
        <v>172</v>
      </c>
      <c r="C9" s="52" t="s">
        <v>173</v>
      </c>
      <c r="D9" s="53" t="s">
        <v>174</v>
      </c>
      <c r="E9" s="2" t="s">
        <v>175</v>
      </c>
    </row>
    <row r="11" spans="2:5" ht="16" customHeight="1" x14ac:dyDescent="0.35">
      <c r="B11" s="74" t="s">
        <v>19</v>
      </c>
      <c r="C11" s="59"/>
      <c r="D11" s="59"/>
      <c r="E11" s="59"/>
    </row>
  </sheetData>
  <mergeCells count="3">
    <mergeCell ref="B11:E11"/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Inventory KPI Dashboard</vt:lpstr>
      <vt:lpstr>Monthly Inv vs Target</vt:lpstr>
      <vt:lpstr>FC Risk Register</vt:lpstr>
      <vt:lpstr>Overstock Capital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Rahima Akter Dity</cp:lastModifiedBy>
  <dcterms:created xsi:type="dcterms:W3CDTF">2026-06-29T08:30:46Z</dcterms:created>
  <dcterms:modified xsi:type="dcterms:W3CDTF">2026-06-29T12:02:58Z</dcterms:modified>
</cp:coreProperties>
</file>